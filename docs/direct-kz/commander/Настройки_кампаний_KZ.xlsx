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стройки" sheetId="1" state="visible" r:id="rId1"/>
    <sheet name="Бюджет" sheetId="2" state="visible" r:id="rId2"/>
    <sheet name="Метрика" sheetId="3" state="visible" r:id="rId3"/>
    <sheet name="Защита РСЯ" sheetId="4" state="visible" r:id="rId4"/>
    <sheet name="Контроль запус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name val="Arial"/>
      <color rgb="000000FF"/>
    </font>
    <font>
      <name val="Arial"/>
      <b val="1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FFD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2" customWidth="1" min="4" max="4"/>
    <col width="20" customWidth="1" min="5" max="5"/>
    <col width="30" customWidth="1" min="6" max="6"/>
    <col width="12" customWidth="1" min="7" max="7"/>
    <col width="12" customWidth="1" min="8" max="8"/>
    <col width="30" customWidth="1" min="9" max="9"/>
    <col width="34" customWidth="1" min="10" max="10"/>
    <col width="16" customWidth="1" min="11" max="11"/>
    <col width="40" customWidth="1" min="12" max="12"/>
    <col width="60" customWidth="1" min="13" max="13"/>
  </cols>
  <sheetData>
    <row r="1">
      <c r="A1" s="1" t="inlineStr">
        <is>
          <t>Кампания</t>
        </is>
      </c>
      <c r="B1" s="1" t="inlineStr">
        <is>
          <t>Места показа</t>
        </is>
      </c>
      <c r="C1" s="1" t="inlineStr">
        <is>
          <t>Регион</t>
        </is>
      </c>
      <c r="D1" s="1" t="inlineStr">
        <is>
          <t>Даты</t>
        </is>
      </c>
      <c r="E1" s="1" t="inlineStr">
        <is>
          <t>Расписание (время Астаны, UTC+5)</t>
        </is>
      </c>
      <c r="F1" s="1" t="inlineStr">
        <is>
          <t>Стратегия</t>
        </is>
      </c>
      <c r="G1" s="1" t="inlineStr">
        <is>
          <t>Дневной бюджет, ₽</t>
        </is>
      </c>
      <c r="H1" s="1" t="inlineStr">
        <is>
          <t>Ставка на фразы, ₽</t>
        </is>
      </c>
      <c r="I1" s="1" t="inlineStr">
        <is>
          <t>Автотаргетинг</t>
        </is>
      </c>
      <c r="J1" s="1" t="inlineStr">
        <is>
          <t>Картинки</t>
        </is>
      </c>
      <c r="K1" s="1" t="inlineStr">
        <is>
          <t>Посадочная</t>
        </is>
      </c>
      <c r="L1" s="1" t="inlineStr">
        <is>
          <t>Цели Метрики</t>
        </is>
      </c>
      <c r="M1" s="1" t="inlineStr">
        <is>
          <t>Общее для всех</t>
        </is>
      </c>
    </row>
    <row r="2">
      <c r="A2" s="2" t="inlineStr">
        <is>
          <t>KZ_Воркшоп_Поиск</t>
        </is>
      </c>
      <c r="B2" s="2" t="inlineStr">
        <is>
          <t>Только поиск: сети, Карты, товарная галерея — выключить</t>
        </is>
      </c>
      <c r="C2" s="2" t="inlineStr">
        <is>
          <t>Казахстан</t>
        </is>
      </c>
      <c r="D2" s="2" t="inlineStr">
        <is>
          <t>С запуска до 12 ноября, 19:00 по Астане</t>
        </is>
      </c>
      <c r="E2" s="2" t="inlineStr">
        <is>
          <t>Ежедневно 8:00–23:00</t>
        </is>
      </c>
      <c r="F2" s="2" t="inlineStr">
        <is>
          <t>Максимум кликов с ручными ставками, дневной бюджет, режим «Распределённый»</t>
        </is>
      </c>
      <c r="G2" s="3" t="n">
        <v>300</v>
      </c>
      <c r="H2" s="3" t="n">
        <v>30</v>
      </c>
      <c r="I2" s="2" t="inlineStr">
        <is>
          <t>«Целевые» и «Узкие», бренды — «Без упоминания брендов», ставка 0,3 ₽</t>
        </is>
      </c>
      <c r="J2" s="2" t="inlineStr">
        <is>
          <t>Не нужны</t>
        </is>
      </c>
      <c r="K2" s="2" t="inlineStr">
        <is>
          <t>/ru/webinar</t>
        </is>
      </c>
      <c r="L2" s="2" t="inlineStr">
        <is>
          <t>Ключевая: «Воркшоп · зарегистрировался» 674143270. Ценность не задавать.</t>
        </is>
      </c>
      <c r="M2" s="2" t="inlineStr">
        <is>
          <t>Название кампании — вручную (из файла не берётся). «Расширенный географический таргетинг» — выключить. «Автоматически применять рекомендации» и «Персонализация» — выключить. «Мониторинг сайта» и автопометку yclid — включить (без неё не работают записи «с сервера»). Корректировка «младше 18 лет» — −100%. Счётчик Метрики 113476399.</t>
        </is>
      </c>
    </row>
    <row r="3">
      <c r="A3" s="2" t="inlineStr">
        <is>
          <t>KZ_Воркшоп_РСЯ</t>
        </is>
      </c>
      <c r="B3" s="2" t="inlineStr">
        <is>
          <t>Только Рекламная сеть: поиск выключить. Внешние сети — исключить на старте</t>
        </is>
      </c>
      <c r="C3" s="2" t="inlineStr">
        <is>
          <t>Казахстан</t>
        </is>
      </c>
      <c r="D3" s="2" t="inlineStr">
        <is>
          <t>С запуска до 12 ноября, 19:00 по Астане</t>
        </is>
      </c>
      <c r="E3" s="2" t="inlineStr">
        <is>
          <t>Ежедневно 8:00–23:00</t>
        </is>
      </c>
      <c r="F3" s="2" t="inlineStr">
        <is>
          <t>Максимум кликов с ручными ставками, дневной бюджет, режим «Распределённый»</t>
        </is>
      </c>
      <c r="G3" s="3" t="n">
        <v>1000</v>
      </c>
      <c r="H3" s="3" t="n">
        <v>12</v>
      </c>
      <c r="I3" s="2" t="inlineStr">
        <is>
          <t>Только «Целевые», бренды — «Без упоминания брендов», ставка 0,3 ₽</t>
        </is>
      </c>
      <c r="J3" s="2" t="inlineStr">
        <is>
          <t>12 файлов KZ_A/B/C_* (идеи A, B, C × 1:1, 16:9, 3:4, 4:3) в каждую группу</t>
        </is>
      </c>
      <c r="K3" s="2" t="inlineStr">
        <is>
          <t>/ru/webinar</t>
        </is>
      </c>
      <c r="L3" s="2" t="inlineStr">
        <is>
          <t>Ключевая: «Воркшоп · зарегистрировался» 674143270. Ценность не задавать.</t>
        </is>
      </c>
      <c r="M3" s="2" t="inlineStr">
        <is>
          <t>Название кампании — вручную (из файла не берётся). «Расширенный географический таргетинг» — выключить. «Автоматически применять рекомендации» и «Персонализация» — выключить. «Мониторинг сайта» и автопометку yclid — включить (без неё не работают записи «с сервера»). Корректировка «младше 18 лет» — −100%. Счётчик Метрики 113476399.</t>
        </is>
      </c>
    </row>
    <row r="4">
      <c r="A4" s="2" t="inlineStr">
        <is>
          <t>KZ_Сайт_Поиск</t>
        </is>
      </c>
      <c r="B4" s="2" t="inlineStr">
        <is>
          <t>Только поиск: сети, Карты, товарная галерея — выключить</t>
        </is>
      </c>
      <c r="C4" s="2" t="inlineStr">
        <is>
          <t>Казахстан</t>
        </is>
      </c>
      <c r="D4" s="2" t="inlineStr">
        <is>
          <t>С запуска, без даты окончания</t>
        </is>
      </c>
      <c r="E4" s="2" t="inlineStr">
        <is>
          <t>Будни 9:00–20:00</t>
        </is>
      </c>
      <c r="F4" s="2" t="inlineStr">
        <is>
          <t>Максимум кликов с ручными ставками, дневной бюджет, режим «Распределённый»</t>
        </is>
      </c>
      <c r="G4" s="3" t="n">
        <v>300</v>
      </c>
      <c r="H4" s="3" t="n">
        <v>30</v>
      </c>
      <c r="I4" s="2" t="inlineStr">
        <is>
          <t>«Целевые» и «Узкие», бренды — «Без упоминания брендов», ставка 0,3 ₽</t>
        </is>
      </c>
      <c r="J4" s="2" t="inlineStr">
        <is>
          <t>Не нужны</t>
        </is>
      </c>
      <c r="K4" s="2" t="inlineStr">
        <is>
          <t>/ru (главная)</t>
        </is>
      </c>
      <c r="L4" s="2" t="inlineStr">
        <is>
          <t>Ключевая: «Сайт · заявка (любая услуга)» 670096899. Дополнительно: «Бесплатный аудит · забронировал время» 670499309 и заявки по услугам: «Обучение команды» 674307503, «Внедрение инструментов» 674307641, «Разработка решения» 674307642, «Дополнительное ведение» 674307643.</t>
        </is>
      </c>
      <c r="M4" s="2" t="inlineStr">
        <is>
          <t>Название кампании — вручную (из файла не берётся). «Расширенный географический таргетинг» — выключить. «Автоматически применять рекомендации» и «Персонализация» — выключить. «Мониторинг сайта» и автопометку yclid — включить (без неё не работают записи «с сервера»). Корректировка «младше 18 лет» — −100%. Счётчик Метрики 113476399.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8" customWidth="1" min="4" max="4"/>
    <col width="14" customWidth="1" min="5" max="5"/>
  </cols>
  <sheetData>
    <row r="1">
      <c r="A1" s="1" t="inlineStr">
        <is>
          <t>Кампания</t>
        </is>
      </c>
      <c r="B1" s="1" t="inlineStr">
        <is>
          <t>Дневной бюджет, ₽</t>
        </is>
      </c>
      <c r="C1" s="1" t="inlineStr">
        <is>
          <t>В неделю, ₽</t>
        </is>
      </c>
      <c r="D1" s="1" t="inlineStr">
        <is>
          <t>Дней</t>
        </is>
      </c>
      <c r="E1" s="1" t="inlineStr">
        <is>
          <t>Всего, ₽</t>
        </is>
      </c>
    </row>
    <row r="2">
      <c r="A2" s="2" t="inlineStr">
        <is>
          <t>Дата запуска (меняйте)</t>
        </is>
      </c>
      <c r="B2" s="4">
        <f>DATE(2026,10,27)</f>
        <v/>
      </c>
      <c r="C2" s="2" t="n"/>
      <c r="D2" s="2" t="n"/>
      <c r="E2" s="2" t="n"/>
    </row>
    <row r="3">
      <c r="A3" s="2" t="inlineStr">
        <is>
          <t>KZ_Воркшоп_Поиск</t>
        </is>
      </c>
      <c r="B3" s="5">
        <f>Настройки!G2</f>
        <v/>
      </c>
      <c r="C3" s="5">
        <f>B3*7</f>
        <v/>
      </c>
      <c r="D3" s="2">
        <f>DATE(2026,11,12)-$B$2+1</f>
        <v/>
      </c>
      <c r="E3" s="5">
        <f>B3*D3</f>
        <v/>
      </c>
    </row>
    <row r="4">
      <c r="A4" s="2" t="inlineStr">
        <is>
          <t>KZ_Воркшоп_РСЯ</t>
        </is>
      </c>
      <c r="B4" s="5">
        <f>Настройки!G3</f>
        <v/>
      </c>
      <c r="C4" s="5">
        <f>B4*7</f>
        <v/>
      </c>
      <c r="D4" s="2">
        <f>DATE(2026,11,12)-$B$2+1</f>
        <v/>
      </c>
      <c r="E4" s="5">
        <f>B4*D4</f>
        <v/>
      </c>
    </row>
    <row r="5">
      <c r="A5" s="2" t="inlineStr">
        <is>
          <t>KZ_Сайт_Поиск</t>
        </is>
      </c>
      <c r="B5" s="5">
        <f>Настройки!G4</f>
        <v/>
      </c>
      <c r="C5" s="5">
        <f>B5*7</f>
        <v/>
      </c>
      <c r="D5" s="2">
        <f>DATE(2026,11,30)-$B$2+1</f>
        <v/>
      </c>
      <c r="E5" s="5">
        <f>B5*D5</f>
        <v/>
      </c>
    </row>
    <row r="6">
      <c r="A6" s="6" t="inlineStr">
        <is>
          <t>Итого</t>
        </is>
      </c>
      <c r="B6" s="5">
        <f>SUM(B3:B5)</f>
        <v/>
      </c>
      <c r="C6" s="5">
        <f>SUM(C3:C5)</f>
        <v/>
      </c>
      <c r="D6" s="2" t="n"/>
      <c r="E6" s="5">
        <f>SUM(E3:E5)</f>
        <v/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Бюджеты — предложение, решает владелец (меняются на листе «Настройки», колонка G). Воркшоп считаем до 12 ноября, сайт — до 30 ноября. Директ может списать за день до 20% больше дневного бюджета, но не больше 7 дневных бюджетов за неделю.</t>
        </is>
      </c>
      <c r="B8" s="2" t="n"/>
      <c r="C8" s="2" t="n"/>
      <c r="D8" s="2" t="n"/>
      <c r="E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Что</t>
        </is>
      </c>
      <c r="B1" s="1" t="inlineStr">
        <is>
          <t>Как настроено</t>
        </is>
      </c>
    </row>
    <row r="2">
      <c r="A2" s="2" t="inlineStr">
        <is>
          <t>Счётчик</t>
        </is>
      </c>
      <c r="B2" s="2" t="inlineStr">
        <is>
          <t>113476399 «Praxen AI» (praxenai.ge). С 24 октября Метрика и Google Analytics грузятся сразу, без нажатия кнопки cookie (решение владельца). Автоцели выключены и удалены.</t>
        </is>
      </c>
    </row>
    <row r="3">
      <c r="A3" s="2" t="inlineStr">
        <is>
          <t>Воркшоп</t>
        </is>
      </c>
      <c r="B3" s="2" t="inlineStr">
        <is>
          <t>Воркшоп · открыл страницу 674138829 → нажал «Занять место» 674143265 → начал заполнять форму 674143266 → зарегистрировался 674143270 → открыл тарифы 674143271 → выбрал тариф или бронь 674143274 → подтверждённая оплата 674143277 (с суммой — для выручки).</t>
        </is>
      </c>
    </row>
    <row r="4">
      <c r="A4" s="2" t="inlineStr">
        <is>
          <t>Сайт</t>
        </is>
      </c>
      <c r="B4" s="2" t="inlineStr">
        <is>
          <t>Сайт · открыл страницу (не воркшоп) 674309236 → начал заполнять форму 670140446 → заявка (любая услуга) 670096899 → Бесплатный аудит · забронировал время 670499309. Записи на воркшоп сюда не попадают.</t>
        </is>
      </c>
    </row>
    <row r="5">
      <c r="A5" s="2" t="inlineStr">
        <is>
          <t>Заявки по услугам</t>
        </is>
      </c>
      <c r="B5" s="2" t="inlineStr">
        <is>
          <t>Обучение команды · заявка 674307503, Внедрение инструментов · заявка 674307641, Разработка решения · заявка 674307642, Дополнительное ведение · заявка 674307643 — по кнопке тарифа, с которой пришёл человек, или по странице «Обучение». Заявка без выбранного тарифа считается только в «Сайт · заявка».</t>
        </is>
      </c>
    </row>
    <row r="6">
      <c r="A6" s="2" t="inlineStr">
        <is>
          <t>Прочие</t>
        </is>
      </c>
      <c r="B6" s="2" t="inlineStr">
        <is>
          <t>Контакт · любой / WhatsApp / Telegram / звонок / открыл запись в Cal.com; Сайт · калькулятор, клик «Бесплатный аудит», квиз: начал, квиз: получил результат.</t>
        </is>
      </c>
    </row>
    <row r="7">
      <c r="A7" s="2" t="inlineStr">
        <is>
          <t>Сегменты</t>
        </is>
      </c>
      <c r="B7" s="2" t="inlineStr">
        <is>
          <t>«Реклама KZ: все кампании», «Реклама KZ: Воркшоп Поиск», «Реклама KZ: Воркшоп РСЯ», «Реклама KZ: Сайт Поиск», «Казахстан: весь трафик» — выбрать сверху любого отчёта («Сегменты» → «Сохранённые»).</t>
        </is>
      </c>
    </row>
    <row r="8">
      <c r="A8" s="2" t="inlineStr">
        <is>
          <t>Отчёты</t>
        </is>
      </c>
      <c r="B8" s="2" t="inlineStr">
        <is>
          <t>«Обзор» — блоки по воркшопу и сайту. «Источники → Директ, сводка» — расход, клики, цели по кампаниям. «Директ, площадки» — какие площадки РСЯ дают визиты и записи. «Конверсии» — все цели. Вебвизор — записи визитов.</t>
        </is>
      </c>
    </row>
    <row r="9">
      <c r="A9" s="2" t="inlineStr">
        <is>
          <t>Связка с Директом</t>
        </is>
      </c>
      <c r="B9" s="2" t="inlineStr">
        <is>
          <t>В каждой кампании указать счётчик 113476399 и цели из листа «Настройки». Если Директ на другом логине Яндекса, чем Метрика, — в Метрике «Настройки → Доступ» дать этому логину гостевой доступ, иначе расходы в Метрику не придут.</t>
        </is>
      </c>
    </row>
    <row r="10">
      <c r="A10" s="2" t="inlineStr">
        <is>
          <t>Ретаргетинг (по желанию)</t>
        </is>
      </c>
      <c r="B10" s="2" t="inlineStr">
        <is>
          <t>Через 5–7 дней в кампанию «Воркшоп_РСЯ» можно добавить группу с условием «Воркшоп · открыл страницу» и без «Воркшоп · зарегистрировался» за 14 дней.</t>
        </is>
      </c>
    </row>
    <row r="11">
      <c r="A11" s="2" t="inlineStr">
        <is>
          <t>Стратегия позже</t>
        </is>
      </c>
      <c r="B11" s="2" t="inlineStr">
        <is>
          <t>Сейчас — клики с ручными ставками. Когда будет 10+ регистраций из рекламы в неделю, можно перейти на «Оплату за конверсии» по цели 674143270 — только по решению владельца.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Правило</t>
        </is>
      </c>
      <c r="B1" s="1" t="inlineStr">
        <is>
          <t>Что сделать</t>
        </is>
      </c>
    </row>
    <row r="2">
      <c r="A2" s="2" t="inlineStr">
        <is>
          <t>Отдельные кампании</t>
        </is>
      </c>
      <c r="B2" s="2" t="inlineStr">
        <is>
          <t>Поиск и РСЯ — разные кампании. Иначе сети съедают бюджет поиска и не видно, где какая цена клика.</t>
        </is>
      </c>
    </row>
    <row r="3">
      <c r="A3" s="2" t="inlineStr">
        <is>
          <t>Ручные ставки</t>
        </is>
      </c>
      <c r="B3" s="2" t="inlineStr">
        <is>
          <t>«Максимум кликов с ручными ставками». Автостратегию «Максимум кликов» не ставить: в WinWinBot она в первые сутки скупила дешёвые клики автотаргетинга по мусорным запросам. Оплату за конверсии не включаем: цели Метрики почти не набираются (Метрика работает только после согласия на cookie).</t>
        </is>
      </c>
    </row>
    <row r="4">
      <c r="A4" s="2" t="inlineStr">
        <is>
          <t>Распределённый бюджет</t>
        </is>
      </c>
      <c r="B4" s="2" t="inlineStr">
        <is>
          <t>Режим дневного бюджета «Распределённый»: деньги не уходят в первые утренние часы.</t>
        </is>
      </c>
    </row>
    <row r="5">
      <c r="A5" s="2" t="inlineStr">
        <is>
          <t>Низкая ставка на старте</t>
        </is>
      </c>
      <c r="B5" s="2" t="inlineStr">
        <is>
          <t>РСЯ — 12 ₽ за клик. Если за 2 дня мало показов, поднимать по 2–3 ₽ за раз, не больше 20 ₽ без решения владельца.</t>
        </is>
      </c>
    </row>
    <row r="6">
      <c r="A6" s="2" t="inlineStr">
        <is>
          <t>Только узкие фразы</t>
        </is>
      </c>
      <c r="B6" s="2" t="inlineStr">
        <is>
          <t>В файлах фразы из 2–4 слов про бизнес и продажи, однословных нет. Минус-слова отсекают детей, учёбу, работу, игры, картинки, «вход/кабинет».</t>
        </is>
      </c>
    </row>
    <row r="7">
      <c r="A7" s="2" t="inlineStr">
        <is>
          <t>Автотаргетинг</t>
        </is>
      </c>
      <c r="B7" s="2" t="inlineStr">
        <is>
          <t>В ЕПК не выключается. В РСЯ оставить только «Целевые», без брендов, ставка 0,3 ₽ — фактически не работает. Строки ---autotargeting не останавливать.</t>
        </is>
      </c>
    </row>
    <row r="8">
      <c r="A8" s="2" t="inlineStr">
        <is>
          <t>Гео</t>
        </is>
      </c>
      <c r="B8" s="2" t="inlineStr">
        <is>
          <t>Только Казахстан, «Расширенный географический таргетинг» выключен — без показов в России.</t>
        </is>
      </c>
    </row>
    <row r="9">
      <c r="A9" s="2" t="inlineStr">
        <is>
          <t>Возраст</t>
        </is>
      </c>
      <c r="B9" s="2" t="inlineStr">
        <is>
          <t>«Младше 18 лет» — −100%.</t>
        </is>
      </c>
    </row>
    <row r="10">
      <c r="A10" s="2" t="inlineStr">
        <is>
          <t>Время</t>
        </is>
      </c>
      <c r="B10" s="2" t="inlineStr">
        <is>
          <t>Без ночных показов: 8:00–23:00 по Астане.</t>
        </is>
      </c>
    </row>
    <row r="11">
      <c r="A11" s="2" t="inlineStr">
        <is>
          <t>Внешние сети</t>
        </is>
      </c>
      <c r="B11" s="2" t="inlineStr">
        <is>
          <t>Исключить на старте, включать только если РСЯ не открутит бюджет.</t>
        </is>
      </c>
    </row>
    <row r="12">
      <c r="A12" s="2" t="inlineStr">
        <is>
          <t>Площадки</t>
        </is>
      </c>
      <c r="B12" s="2" t="inlineStr">
        <is>
          <t>Каждые 2–3 дня: Мастер отчётов → срез «Площадка» за всё время. В «Запрещённые площадки» (до 1000) — площадки с 15+ кликами без единой записи и мобильные игры. Ориентир: CTR в РСЯ выше 3% почти всегда случайные клики в приложениях.</t>
        </is>
      </c>
    </row>
    <row r="13">
      <c r="A13" s="2" t="inlineStr">
        <is>
          <t>Площадка — в CRM</t>
        </is>
      </c>
      <c r="B13" s="2" t="inlineStr">
        <is>
          <t>В каждой ссылке utm_content={ad_id}_{source}: площадка видна в поле «Источник» сделки amoCRM. Площадки, с которых приходят записи, не трогаем.</t>
        </is>
      </c>
    </row>
    <row r="14">
      <c r="A14" s="2" t="inlineStr">
        <is>
          <t>Картинки</t>
        </is>
      </c>
      <c r="B14" s="2" t="inlineStr">
        <is>
          <t>Все 4 формата каждой из 3 идей — Директ сам подберёт размер. Через 5–7 дней худшую идею по CTR и записям отключить.</t>
        </is>
      </c>
    </row>
    <row r="15">
      <c r="A15" s="2" t="inlineStr">
        <is>
          <t>Мониторинг сайта</t>
        </is>
      </c>
      <c r="B15" s="2" t="inlineStr">
        <is>
          <t>Включить: если сайт недоступен, Директ сам остановит показы.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Когда</t>
        </is>
      </c>
      <c r="B1" s="1" t="inlineStr">
        <is>
          <t>Что проверить</t>
        </is>
      </c>
    </row>
    <row r="2">
      <c r="A2" s="2" t="inlineStr">
        <is>
          <t>До запуска</t>
        </is>
      </c>
      <c r="B2" s="2" t="inlineStr">
        <is>
          <t>Проверить в каждой кампании: место показа, регион и выключенный расширенный геотаргетинг, расписание, дневной бюджет, ставки, автотаргетинг, корректировку по возрасту, картинки в группах РСЯ.</t>
        </is>
      </c>
    </row>
    <row r="3">
      <c r="A3" s="2" t="inlineStr">
        <is>
          <t>День 1</t>
        </is>
      </c>
      <c r="B3" s="2" t="inlineStr">
        <is>
          <t>Модерация пройдена, показы идут. Цена клика на поиске и в РСЯ, списание не выше дневного бюджета.</t>
        </is>
      </c>
    </row>
    <row r="4">
      <c r="A4" s="2" t="inlineStr">
        <is>
          <t>День 2–3</t>
        </is>
      </c>
      <c r="B4" s="2" t="inlineStr">
        <is>
          <t>Поисковые запросы → минус-слова. Площадки РСЯ → запрет. Записи на воркшоп с utm_source=yandex в amoCRM (отчёт «Проверка воронки»).</t>
        </is>
      </c>
    </row>
    <row r="5">
      <c r="A5" s="2" t="inlineStr">
        <is>
          <t>День 7</t>
        </is>
      </c>
      <c r="B5" s="2" t="inlineStr">
        <is>
          <t>Стоимость записи и заявки по каждой из 3 кампаний (расход Директа / сделки amoCRM с её utm_campaign). Бюджет — в кампанию с самой дешёвой записью.</t>
        </is>
      </c>
    </row>
    <row r="6">
      <c r="A6" s="2" t="inlineStr">
        <is>
          <t>11 ноября</t>
        </is>
      </c>
      <c r="B6" s="2" t="inlineStr">
        <is>
          <t>Последний день записи: проверить, что бюджет воркшопа не упирается в дневной лимит.</t>
        </is>
      </c>
    </row>
    <row r="7">
      <c r="A7" s="2" t="inlineStr">
        <is>
          <t>12 ноября, 19:00</t>
        </is>
      </c>
      <c r="B7" s="2" t="inlineStr">
        <is>
          <t>Кампании воркшопа останавливаются по дате окончания. Проверить, что показы прекратились.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2026-10-25T06:38:36Z</dcterms:created>
  <dcterms:modified xsi:type="dcterms:W3CDTF">2026-10-25T06:38:36Z</dcterms:modified>
</cp:coreProperties>
</file>